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inancial Data" sheetId="2" state="visible" r:id="rId4"/>
    <sheet name="Ratio Analysis" sheetId="3" state="visible" r:id="rId5"/>
    <sheet name="Rating Scorec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<sst xmlns="http://schemas.openxmlformats.org/spreadsheetml/2006/main" count="118" uniqueCount="95">
  <si>
    <t xml:space="preserve">Credit Risk Analysis of Tata Motors Ltd.</t>
  </si>
  <si>
    <t xml:space="preserve">Project period: April 2026</t>
  </si>
  <si>
    <t xml:space="preserve">OBJECTIVE</t>
  </si>
  <si>
    <t xml:space="preserve">Evaluate the credit profile of the Tata Motors group (consolidated, FY2021-FY2025) - repayment capacity,</t>
  </si>
  <si>
    <t xml:space="preserve">leverage, liquidity and profitability trends - and arrive at an indicative internal credit view.</t>
  </si>
  <si>
    <t xml:space="preserve">SCOPE / ENTITY NOTE</t>
  </si>
  <si>
    <t xml:space="preserve">This analysis covers the historical consolidated Tata Motors Group (JLR + India commercial and passenger</t>
  </si>
  <si>
    <t xml:space="preserve">vehicles) for FY2021-FY2025, the entity previously listed as 'Tata Motors Ltd'. On 1 October 2025 the group</t>
  </si>
  <si>
    <t xml:space="preserve">demerged: the commercial-vehicle business was carved out into a newly listed 'Tata Motors Ltd' (formerly</t>
  </si>
  <si>
    <t xml:space="preserve">TML Commercial Vehicles Ltd), while the passenger-vehicle and JLR businesses continue under the entity now</t>
  </si>
  <si>
    <t xml:space="preserve">listed as 'Tata Motors Passenger Vehicles Ltd'. The FY2021-FY2025 financials analyzed here predate that</t>
  </si>
  <si>
    <t xml:space="preserve">split and reflect the group as it was structured and rated throughout the period under review.</t>
  </si>
  <si>
    <t xml:space="preserve">DATA SOURCES</t>
  </si>
  <si>
    <t xml:space="preserve">- 5-year consolidated P&amp;L, balance sheet and cash flow (FY2021-FY2025): Screener.in, compiled from company</t>
  </si>
  <si>
    <t xml:space="preserve">  annual reports / BSE filings. https://www.screener.in/company/TMPV/consolidated/</t>
  </si>
  <si>
    <t xml:space="preserve">- Credit rating history (CRISIL/ICRA/CARE rating actions referenced qualitatively): Screener.in Documents tab.</t>
  </si>
  <si>
    <t xml:space="preserve">METHODOLOGY &amp; LIMITATIONS</t>
  </si>
  <si>
    <t xml:space="preserve">Ratios are computed from the summarized P&amp;L/balance sheet/cash flow figures published on Screener.in, not</t>
  </si>
  <si>
    <t xml:space="preserve">from the line-by-line audited financial statements, so minor reclassification differences are possible.</t>
  </si>
  <si>
    <t xml:space="preserve">Public summary data does not separately disclose current vs. non-current assets/liabilities or a debt maturity</t>
  </si>
  <si>
    <t xml:space="preserve">schedule, so: (a) Current Ratio is not computable and Working Capital Days is used as the liquidity proxy</t>
  </si>
  <si>
    <t xml:space="preserve">instead; (b) DSCR is approximated as CFO / Interest Expense (a simplified proxy - a full DSCR would also net</t>
  </si>
  <si>
    <t xml:space="preserve">out the current portion of long-term debt, which is not separately disclosed here). Both approximations are</t>
  </si>
  <si>
    <t xml:space="preserve">flagged wherever used. The indicative rating on the Ratio Analysis tab is an academic scorecard exercise,</t>
  </si>
  <si>
    <t xml:space="preserve">not a rating agency methodology output, and should not be read as an actual credit rating.</t>
  </si>
  <si>
    <t xml:space="preserve">Tata Motors Group - Consolidated Financials, FY2021-FY2025 (Rs. Crore)</t>
  </si>
  <si>
    <t xml:space="preserve">Source: Screener.in, compiled from company annual reports / BSE filings</t>
  </si>
  <si>
    <t xml:space="preserve">Rs. Crore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</si>
  <si>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</si>
  <si>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</si>
  <si>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</si>
  <si>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</si>
  <si>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</si>
  <si>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Net Sales</t>
  </si>
  <si>
    <t xml:space="preserve">EBITDA (Operating Profit)</t>
  </si>
  <si>
    <t xml:space="preserve">EBITDA Margin %</t>
  </si>
  <si>
    <t xml:space="preserve">Depreciation &amp; Amortization</t>
  </si>
  <si>
    <t xml:space="preserve">EBIT</t>
  </si>
  <si>
    <t xml:space="preserve">Interest Expense</t>
  </si>
  <si>
    <t xml:space="preserve">Other Income</t>
  </si>
  <si>
    <t xml:space="preserve">Profit Before Tax</t>
  </si>
  <si>
    <t xml:space="preserve">Net Profit (PAT)</t>
  </si>
  <si>
    <t xml:space="preserve">Balance Sheet</t>
  </si>
  <si>
    <t xml:space="preserve">Equity Share Capital</t>
  </si>
  <si>
    <t xml:space="preserve">Reserves &amp; Surplus</t>
  </si>
  <si>
    <t xml:space="preserve">Total Net Worth</t>
  </si>
  <si>
    <t xml:space="preserve">Total Borrowings</t>
  </si>
  <si>
    <t xml:space="preserve">Other Liabilities</t>
  </si>
  <si>
    <t xml:space="preserve">Total Liabilities &amp; Equity</t>
  </si>
  <si>
    <t xml:space="preserve">Cash Flow</t>
  </si>
  <si>
    <t xml:space="preserve">Cash from Operating Activity (CFO)</t>
  </si>
  <si>
    <t xml:space="preserve">Free Cash Flow (reported)</t>
  </si>
  <si>
    <t xml:space="preserve">Working Capital Days (reported, liquidity proxy)</t>
  </si>
  <si>
    <t xml:space="preserve">ROCE % (reported)</t>
  </si>
  <si>
    <t xml:space="preserve">Credit Ratio Analysis, FY2021-FY2025</t>
  </si>
  <si>
    <t xml:space="preserve">Ratio</t>
  </si>
  <si>
    <t xml:space="preserve">Leverage</t>
  </si>
  <si>
    <t xml:space="preserve">Debt-to-Equity</t>
  </si>
  <si>
    <t xml:space="preserve">Coverage</t>
  </si>
  <si>
    <t xml:space="preserve">Interest Coverage (EBIT / Interest)</t>
  </si>
  <si>
    <t xml:space="preserve">DSCR proxy (CFO / Interest) *</t>
  </si>
  <si>
    <t xml:space="preserve">Liquidity</t>
  </si>
  <si>
    <t xml:space="preserve">Working Capital Days (proxy) *</t>
  </si>
  <si>
    <t xml:space="preserve">Profitability</t>
  </si>
  <si>
    <t xml:space="preserve">ROE (Net Profit / Net Worth)</t>
  </si>
  <si>
    <t xml:space="preserve">ROCE %</t>
  </si>
  <si>
    <t xml:space="preserve">* Proxies used due to public data limitations - see README tab.</t>
  </si>
  <si>
    <t xml:space="preserve">Leverage &amp; Coverage Trend (chart data)</t>
  </si>
  <si>
    <t xml:space="preserve">Metric</t>
  </si>
  <si>
    <t xml:space="preserve">Debt-to-Equity (x)</t>
  </si>
  <si>
    <t xml:space="preserve">Interest Coverage (x)</t>
  </si>
  <si>
    <t xml:space="preserve">Indicative Internal Credit Scorecard (FY2025, academic exercise)</t>
  </si>
  <si>
    <t xml:space="preserve">This is a simplified illustrative scorecard, not a rating agency (CRISIL/ICRA/CARE) methodology output.</t>
  </si>
  <si>
    <t xml:space="preserve">Factor</t>
  </si>
  <si>
    <t xml:space="preserve">FY2025 Value</t>
  </si>
  <si>
    <t xml:space="preserve">Score (1-5)</t>
  </si>
  <si>
    <t xml:space="preserve">Rationale</t>
  </si>
  <si>
    <t xml:space="preserve">Leverage (D/E)</t>
  </si>
  <si>
    <t xml:space="preserve">D/E of 0.62x is low for a capital-intensive auto OEM - strong deleveraging since FY22 peak of 3.29x.</t>
  </si>
  <si>
    <t xml:space="preserve">Interest Coverage</t>
  </si>
  <si>
    <t xml:space="preserve">6.47x EBIT/Interest comfortably covers debt service; up from sub-1x in FY21-22.</t>
  </si>
  <si>
    <t xml:space="preserve">DSCR proxy</t>
  </si>
  <si>
    <t xml:space="preserve">CFO/Interest of ~12.4x reflects strong operating cash generation relative to interest burden.</t>
  </si>
  <si>
    <t xml:space="preserve">Profitability (EBITDA margin)</t>
  </si>
  <si>
    <t xml:space="preserve">13% margin restored to FY21 levels after a dip in FY22-23; in line with global auto OEM peers.</t>
  </si>
  <si>
    <t xml:space="preserve">Returns (ROCE)</t>
  </si>
  <si>
    <t xml:space="preserve">20% ROCE is strong, though still recovering from near-zero in FY22.</t>
  </si>
  <si>
    <t xml:space="preserve">Earnings volatility (5yr trend)</t>
  </si>
  <si>
    <t xml:space="preserve">-</t>
  </si>
  <si>
    <t xml:space="preserve">PAT swung from -13,395 Cr (FY21) to +31,807 Cr (FY24) - high historical volatility (COVID, chip shortage, JLR restructuring).</t>
  </si>
  <si>
    <t xml:space="preserve">Liquidity (working capital structure)</t>
  </si>
  <si>
    <t xml:space="preserve">Persistently negative working capital days reflect strong payables leverage typical of auto OEMs, not a liquidity strain.</t>
  </si>
  <si>
    <t xml:space="preserve">Weighted Average Score (equal-weighted)</t>
  </si>
  <si>
    <t xml:space="preserve">Indicative Internal Rating Band</t>
  </si>
  <si>
    <t xml:space="preserve">Score 4.5-5.0 = AA-equivalent | 3.5-4.4 = A-equivalent | 2.5-3.4 = BBB-equivalent | &lt;2.5 = Sub-investment grade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</si>
</sst>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"/>
    <numFmt numFmtId="167" formatCode="0"/>
    <numFmt numFmtId="168" formatCode="0.00\x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F1D1D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Cambria"/>
      <family val="0"/>
      <charset val="1"/>
    </font>
    <font>
      <b val="true"/>
      <sz val="13"/>
      <color rgb="FF7F1D1D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F1D1D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AA433F"/>
      <rgbColor rgb="FFFFFFCC"/>
      <rgbColor rgb="FFCCFF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833C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Debt-to-Equity vs. Interest Coverage, FY2021-FY2025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'Ratio Analysis'!A23</c:f>
              <c:strCache>
                <c:ptCount val="1"/>
                <c:pt idx="0">
                  <c:v>Debt-to-Equity (x)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 Analysis'!$B$22:$F$22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'Ratio Analysis'!$B$23:$F$23</c:f>
              <c:numCache>
                <c:formatCode>0.00\x</c:formatCode>
                <c:ptCount val="5"/>
                <c:pt idx="0">
                  <c:v>2.57264647854182</c:v>
                </c:pt>
                <c:pt idx="1">
                  <c:v>3.28648369650591</c:v>
                </c:pt>
                <c:pt idx="2">
                  <c:v>2.95911477869467</c:v>
                </c:pt>
                <c:pt idx="3">
                  <c:v>1.26314797804941</c:v>
                </c:pt>
                <c:pt idx="4">
                  <c:v>0.61595949855352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'Ratio Analysis'!A24</c:f>
              <c:strCache>
                <c:ptCount val="1"/>
                <c:pt idx="0">
                  <c:v>Interest Coverage (x)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 Analysis'!$B$22:$F$22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'Ratio Analysis'!$B$24:$F$24</c:f>
              <c:numCache>
                <c:formatCode>0.00\x</c:formatCode>
                <c:ptCount val="5"/>
                <c:pt idx="0">
                  <c:v>1.07941212794862</c:v>
                </c:pt>
                <c:pt idx="1">
                  <c:v>-0.0124570446735395</c:v>
                </c:pt>
                <c:pt idx="2">
                  <c:v>0.680293398533007</c:v>
                </c:pt>
                <c:pt idx="3">
                  <c:v>4.02554648406637</c:v>
                </c:pt>
                <c:pt idx="4">
                  <c:v>6.46901436159748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803928"/>
        <c:axId val="90420411"/>
      </c:lineChart>
      <c:catAx>
        <c:axId val="61803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20411"/>
        <c:crosses val="autoZero"/>
        <c:auto val="1"/>
        <c:lblAlgn val="ctr"/>
        <c:lblOffset val="100"/>
        <c:noMultiLvlLbl val="0"/>
      </c:catAx>
      <c:valAx>
        <c:axId val="90420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(times)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39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160560</xdr:rowOff>
    </xdr:from>
    <xdr:to>
      <xdr:col>6</xdr:col>
      <xdr:colOff>221760</xdr:colOff>
      <xdr:row>41</xdr:row>
      <xdr:rowOff>161640</xdr:rowOff>
    </xdr:to>
    <xdr:graphicFrame>
      <xdr:nvGraphicFramePr>
        <xdr:cNvPr id="0" name="Chart 1"/>
        <xdr:cNvGraphicFramePr/>
      </xdr:nvGraphicFramePr>
      <xdr:xfrm>
        <a:off x="0" y="4762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10" customFormat="false" ht="15" hidden="false" customHeight="false" outlineLevel="0" collapsed="false">
      <c r="B10" s="3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2" t="s">
        <v>17</v>
      </c>
    </row>
    <row r="25" customFormat="false" ht="15" hidden="false" customHeight="false" outlineLevel="0" collapsed="false">
      <c r="B25" s="2" t="s">
        <v>18</v>
      </c>
    </row>
    <row r="26" customFormat="false" ht="15" hidden="false" customHeight="false" outlineLevel="0" collapsed="false">
      <c r="B26" s="2" t="s">
        <v>19</v>
      </c>
    </row>
    <row r="27" customFormat="false" ht="15" hidden="false" customHeight="false" outlineLevel="0" collapsed="false">
      <c r="B27" s="2" t="s">
        <v>20</v>
      </c>
    </row>
    <row r="28" customFormat="false" ht="15" hidden="false" customHeight="false" outlineLevel="0" collapsed="false">
      <c r="B28" s="2" t="s">
        <v>21</v>
      </c>
    </row>
    <row r="29" customFormat="false" ht="15" hidden="false" customHeight="false" outlineLevel="0" collapsed="false">
      <c r="B29" s="2" t="s">
        <v>22</v>
      </c>
    </row>
    <row r="30" customFormat="false" ht="15" hidden="false" customHeight="false" outlineLevel="0" collapsed="false">
      <c r="B30" s="2" t="s">
        <v>23</v>
      </c>
    </row>
    <row r="31" customFormat="false" ht="15" hidden="false" customHeight="false" outlineLevel="0" collapsed="false">
      <c r="B31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1D1D"/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5" t="s">
        <v>26</v>
      </c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</row>
    <row r="5" customFormat="false" ht="15" hidden="false" customHeight="false" outlineLevel="0" collapsed="false">
      <c r="A5" s="3" t="s">
        <v>33</v>
      </c>
      <c r="B5" s="7" t="n">
        <v>249795</v>
      </c>
      <c r="C5" s="7" t="n">
        <v>278454</v>
      </c>
      <c r="D5" s="7" t="n">
        <v>345967</v>
      </c>
      <c r="E5" s="7" t="n">
        <v>434016</v>
      </c>
      <c r="F5" s="7" t="n">
        <v>439695</v>
      </c>
    </row>
    <row r="6" customFormat="false" ht="15" hidden="false" customHeight="false" outlineLevel="0" collapsed="false">
      <c r="A6" s="4" t="s">
        <v>34</v>
      </c>
      <c r="B6" s="7" t="n">
        <v>32287</v>
      </c>
      <c r="C6" s="7" t="n">
        <v>24720</v>
      </c>
      <c r="D6" s="7" t="n">
        <v>31816</v>
      </c>
      <c r="E6" s="7" t="n">
        <v>57809</v>
      </c>
      <c r="F6" s="7" t="n">
        <v>56138</v>
      </c>
    </row>
    <row r="7" customFormat="false" ht="15" hidden="false" customHeight="false" outlineLevel="0" collapsed="false">
      <c r="A7" s="4" t="s">
        <v>35</v>
      </c>
      <c r="B7" s="8" t="n">
        <f aca="false">B6/B5</f>
        <v>0.129253988270382</v>
      </c>
      <c r="C7" s="8" t="n">
        <f aca="false">C6/C5</f>
        <v>0.0887758839880196</v>
      </c>
      <c r="D7" s="8" t="n">
        <f aca="false">D6/D5</f>
        <v>0.0919625282180092</v>
      </c>
      <c r="E7" s="8" t="n">
        <f aca="false">E6/E5</f>
        <v>0.133195550394456</v>
      </c>
      <c r="F7" s="8" t="n">
        <f aca="false">F6/F5</f>
        <v>0.127674865531789</v>
      </c>
    </row>
    <row r="8" customFormat="false" ht="15" hidden="false" customHeight="false" outlineLevel="0" collapsed="false">
      <c r="A8" s="4" t="s">
        <v>36</v>
      </c>
      <c r="B8" s="7" t="n">
        <v>23547</v>
      </c>
      <c r="C8" s="7" t="n">
        <v>24836</v>
      </c>
      <c r="D8" s="7" t="n">
        <v>24860</v>
      </c>
      <c r="E8" s="7" t="n">
        <v>27239</v>
      </c>
      <c r="F8" s="7" t="n">
        <v>23256</v>
      </c>
    </row>
    <row r="9" customFormat="false" ht="15" hidden="false" customHeight="false" outlineLevel="0" collapsed="false">
      <c r="A9" s="3" t="s">
        <v>37</v>
      </c>
      <c r="B9" s="9" t="n">
        <f aca="false">B6-B8</f>
        <v>8740</v>
      </c>
      <c r="C9" s="9" t="n">
        <f aca="false">C6-C8</f>
        <v>-116</v>
      </c>
      <c r="D9" s="9" t="n">
        <f aca="false">D6-D8</f>
        <v>6956</v>
      </c>
      <c r="E9" s="9" t="n">
        <f aca="false">E6-E8</f>
        <v>30570</v>
      </c>
      <c r="F9" s="9" t="n">
        <f aca="false">F6-F8</f>
        <v>32882</v>
      </c>
    </row>
    <row r="10" customFormat="false" ht="15" hidden="false" customHeight="false" outlineLevel="0" collapsed="false">
      <c r="A10" s="4" t="s">
        <v>38</v>
      </c>
      <c r="B10" s="7" t="n">
        <v>8097</v>
      </c>
      <c r="C10" s="7" t="n">
        <v>9312</v>
      </c>
      <c r="D10" s="7" t="n">
        <v>10225</v>
      </c>
      <c r="E10" s="7" t="n">
        <v>7594</v>
      </c>
      <c r="F10" s="7" t="n">
        <v>5083</v>
      </c>
    </row>
    <row r="11" customFormat="false" ht="15" hidden="false" customHeight="false" outlineLevel="0" collapsed="false">
      <c r="A11" s="4" t="s">
        <v>39</v>
      </c>
      <c r="B11" s="7" t="n">
        <v>-11118</v>
      </c>
      <c r="C11" s="7" t="n">
        <v>2424</v>
      </c>
      <c r="D11" s="7" t="n">
        <v>6664</v>
      </c>
      <c r="E11" s="7" t="n">
        <v>4807</v>
      </c>
      <c r="F11" s="7" t="n">
        <v>10852</v>
      </c>
    </row>
    <row r="12" customFormat="false" ht="15" hidden="false" customHeight="false" outlineLevel="0" collapsed="false">
      <c r="A12" s="3" t="s">
        <v>40</v>
      </c>
      <c r="B12" s="9" t="n">
        <f aca="false">B9-B10+B11</f>
        <v>-10475</v>
      </c>
      <c r="C12" s="9" t="n">
        <f aca="false">C9-C10+C11</f>
        <v>-7004</v>
      </c>
      <c r="D12" s="9" t="n">
        <f aca="false">D9-D10+D11</f>
        <v>3395</v>
      </c>
      <c r="E12" s="9" t="n">
        <f aca="false">E9-E10+E11</f>
        <v>27783</v>
      </c>
      <c r="F12" s="9" t="n">
        <f aca="false">F9-F10+F11</f>
        <v>38651</v>
      </c>
    </row>
    <row r="13" customFormat="false" ht="15" hidden="false" customHeight="false" outlineLevel="0" collapsed="false">
      <c r="A13" s="4" t="s">
        <v>41</v>
      </c>
      <c r="B13" s="7" t="n">
        <v>-13395</v>
      </c>
      <c r="C13" s="7" t="n">
        <v>-11309</v>
      </c>
      <c r="D13" s="7" t="n">
        <v>2690</v>
      </c>
      <c r="E13" s="7" t="n">
        <v>31807</v>
      </c>
      <c r="F13" s="7" t="n">
        <v>28149</v>
      </c>
    </row>
    <row r="15" customFormat="false" ht="15" hidden="false" customHeight="false" outlineLevel="0" collapsed="false">
      <c r="A15" s="3" t="s">
        <v>42</v>
      </c>
    </row>
    <row r="16" customFormat="false" ht="15" hidden="false" customHeight="false" outlineLevel="0" collapsed="false">
      <c r="A16" s="6" t="s">
        <v>27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32</v>
      </c>
    </row>
    <row r="17" customFormat="false" ht="15" hidden="false" customHeight="false" outlineLevel="0" collapsed="false">
      <c r="A17" s="4" t="s">
        <v>43</v>
      </c>
      <c r="B17" s="7" t="n">
        <v>766</v>
      </c>
      <c r="C17" s="7" t="n">
        <v>766</v>
      </c>
      <c r="D17" s="7" t="n">
        <v>766</v>
      </c>
      <c r="E17" s="7" t="n">
        <v>767</v>
      </c>
      <c r="F17" s="7" t="n">
        <v>736</v>
      </c>
    </row>
    <row r="18" customFormat="false" ht="15" hidden="false" customHeight="false" outlineLevel="0" collapsed="false">
      <c r="A18" s="4" t="s">
        <v>44</v>
      </c>
      <c r="B18" s="7" t="n">
        <v>54481</v>
      </c>
      <c r="C18" s="7" t="n">
        <v>43795</v>
      </c>
      <c r="D18" s="7" t="n">
        <v>44556</v>
      </c>
      <c r="E18" s="7" t="n">
        <v>84151</v>
      </c>
      <c r="F18" s="7" t="n">
        <v>115408</v>
      </c>
    </row>
    <row r="19" customFormat="false" ht="15" hidden="false" customHeight="false" outlineLevel="0" collapsed="false">
      <c r="A19" s="3" t="s">
        <v>45</v>
      </c>
      <c r="B19" s="9" t="n">
        <f aca="false">B17+B18</f>
        <v>55247</v>
      </c>
      <c r="C19" s="9" t="n">
        <f aca="false">C17+C18</f>
        <v>44561</v>
      </c>
      <c r="D19" s="9" t="n">
        <f aca="false">D17+D18</f>
        <v>45322</v>
      </c>
      <c r="E19" s="9" t="n">
        <f aca="false">E17+E18</f>
        <v>84918</v>
      </c>
      <c r="F19" s="9" t="n">
        <f aca="false">F17+F18</f>
        <v>116144</v>
      </c>
    </row>
    <row r="20" customFormat="false" ht="15" hidden="false" customHeight="false" outlineLevel="0" collapsed="false">
      <c r="A20" s="4" t="s">
        <v>46</v>
      </c>
      <c r="B20" s="7" t="n">
        <v>142131</v>
      </c>
      <c r="C20" s="7" t="n">
        <v>146449</v>
      </c>
      <c r="D20" s="7" t="n">
        <v>134113</v>
      </c>
      <c r="E20" s="7" t="n">
        <v>107264</v>
      </c>
      <c r="F20" s="7" t="n">
        <v>71540</v>
      </c>
    </row>
    <row r="21" customFormat="false" ht="15" hidden="false" customHeight="false" outlineLevel="0" collapsed="false">
      <c r="A21" s="4" t="s">
        <v>47</v>
      </c>
      <c r="B21" s="7" t="n">
        <v>144193</v>
      </c>
      <c r="C21" s="7" t="n">
        <v>138051</v>
      </c>
      <c r="D21" s="7" t="n">
        <v>155239</v>
      </c>
      <c r="E21" s="7" t="n">
        <v>177339</v>
      </c>
      <c r="F21" s="7" t="n">
        <v>189289</v>
      </c>
    </row>
    <row r="22" customFormat="false" ht="15" hidden="false" customHeight="false" outlineLevel="0" collapsed="false">
      <c r="A22" s="3" t="s">
        <v>48</v>
      </c>
      <c r="B22" s="9" t="n">
        <f aca="false">B19+B20+B21</f>
        <v>341571</v>
      </c>
      <c r="C22" s="9" t="n">
        <f aca="false">C19+C20+C21</f>
        <v>329061</v>
      </c>
      <c r="D22" s="9" t="n">
        <f aca="false">D19+D20+D21</f>
        <v>334674</v>
      </c>
      <c r="E22" s="9" t="n">
        <f aca="false">E19+E20+E21</f>
        <v>369521</v>
      </c>
      <c r="F22" s="9" t="n">
        <f aca="false">F19+F20+F21</f>
        <v>376973</v>
      </c>
    </row>
    <row r="24" customFormat="false" ht="15" hidden="false" customHeight="false" outlineLevel="0" collapsed="false">
      <c r="A24" s="3" t="s">
        <v>49</v>
      </c>
    </row>
    <row r="25" customFormat="false" ht="15" hidden="false" customHeight="false" outlineLevel="0" collapsed="false">
      <c r="A25" s="6" t="s">
        <v>27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32</v>
      </c>
    </row>
    <row r="26" customFormat="false" ht="15" hidden="false" customHeight="false" outlineLevel="0" collapsed="false">
      <c r="A26" s="4" t="s">
        <v>50</v>
      </c>
      <c r="B26" s="7" t="n">
        <v>29001</v>
      </c>
      <c r="C26" s="7" t="n">
        <v>14283</v>
      </c>
      <c r="D26" s="7" t="n">
        <v>35388</v>
      </c>
      <c r="E26" s="7" t="n">
        <v>67915</v>
      </c>
      <c r="F26" s="7" t="n">
        <v>63102</v>
      </c>
    </row>
    <row r="27" customFormat="false" ht="15" hidden="false" customHeight="false" outlineLevel="0" collapsed="false">
      <c r="A27" s="4" t="s">
        <v>51</v>
      </c>
      <c r="B27" s="7" t="n">
        <v>9146</v>
      </c>
      <c r="C27" s="7" t="n">
        <v>-655</v>
      </c>
      <c r="D27" s="7" t="n">
        <v>16443</v>
      </c>
      <c r="E27" s="7" t="n">
        <v>36732</v>
      </c>
      <c r="F27" s="7" t="n">
        <v>26034</v>
      </c>
    </row>
    <row r="29" customFormat="false" ht="15" hidden="false" customHeight="false" outlineLevel="0" collapsed="false">
      <c r="A29" s="4" t="s">
        <v>52</v>
      </c>
      <c r="B29" s="10" t="n">
        <v>-112</v>
      </c>
      <c r="C29" s="10" t="n">
        <v>-88</v>
      </c>
      <c r="D29" s="10" t="n">
        <v>-63</v>
      </c>
      <c r="E29" s="10" t="n">
        <v>-55</v>
      </c>
      <c r="F29" s="10" t="n">
        <v>-62</v>
      </c>
    </row>
    <row r="30" customFormat="false" ht="15" hidden="false" customHeight="false" outlineLevel="0" collapsed="false">
      <c r="A30" s="4" t="s">
        <v>53</v>
      </c>
      <c r="B30" s="11" t="n">
        <v>0.06</v>
      </c>
      <c r="C30" s="11" t="n">
        <v>0.01</v>
      </c>
      <c r="D30" s="11" t="n">
        <v>0.06</v>
      </c>
      <c r="E30" s="11" t="n">
        <v>0.19</v>
      </c>
      <c r="F30" s="11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6" t="s">
        <v>55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</row>
    <row r="4" customFormat="false" ht="15" hidden="false" customHeight="false" outlineLevel="0" collapsed="false">
      <c r="A4" s="3" t="s">
        <v>56</v>
      </c>
    </row>
    <row r="5" customFormat="false" ht="15" hidden="false" customHeight="false" outlineLevel="0" collapsed="false">
      <c r="A5" s="4" t="s">
        <v>57</v>
      </c>
      <c r="B5" s="12" t="n">
        <f aca="false">'Financial Data'!B20/'Financial Data'!B19</f>
        <v>2.57264647854182</v>
      </c>
      <c r="C5" s="12" t="n">
        <f aca="false">'Financial Data'!C20/'Financial Data'!C19</f>
        <v>3.28648369650591</v>
      </c>
      <c r="D5" s="12" t="n">
        <f aca="false">'Financial Data'!D20/'Financial Data'!D19</f>
        <v>2.95911477869467</v>
      </c>
      <c r="E5" s="12" t="n">
        <f aca="false">'Financial Data'!E20/'Financial Data'!E19</f>
        <v>1.26314797804941</v>
      </c>
      <c r="F5" s="12" t="n">
        <f aca="false">'Financial Data'!F20/'Financial Data'!F19</f>
        <v>0.61595949855352</v>
      </c>
    </row>
    <row r="7" customFormat="false" ht="15" hidden="false" customHeight="false" outlineLevel="0" collapsed="false">
      <c r="A7" s="3" t="s">
        <v>58</v>
      </c>
    </row>
    <row r="8" customFormat="false" ht="15" hidden="false" customHeight="false" outlineLevel="0" collapsed="false">
      <c r="A8" s="4" t="s">
        <v>59</v>
      </c>
      <c r="B8" s="12" t="n">
        <f aca="false">'Financial Data'!B9/'Financial Data'!B10</f>
        <v>1.07941212794862</v>
      </c>
      <c r="C8" s="12" t="n">
        <f aca="false">'Financial Data'!C9/'Financial Data'!C10</f>
        <v>-0.0124570446735395</v>
      </c>
      <c r="D8" s="12" t="n">
        <f aca="false">'Financial Data'!D9/'Financial Data'!D10</f>
        <v>0.680293398533007</v>
      </c>
      <c r="E8" s="12" t="n">
        <f aca="false">'Financial Data'!E9/'Financial Data'!E10</f>
        <v>4.02554648406637</v>
      </c>
      <c r="F8" s="12" t="n">
        <f aca="false">'Financial Data'!F9/'Financial Data'!F10</f>
        <v>6.46901436159748</v>
      </c>
    </row>
    <row r="9" customFormat="false" ht="15" hidden="false" customHeight="false" outlineLevel="0" collapsed="false">
      <c r="A9" s="4" t="s">
        <v>60</v>
      </c>
      <c r="B9" s="12" t="n">
        <f aca="false">'Financial Data'!B26/'Financial Data'!B10</f>
        <v>3.58169692478696</v>
      </c>
      <c r="C9" s="12" t="n">
        <f aca="false">'Financial Data'!C26/'Financial Data'!C10</f>
        <v>1.53382731958763</v>
      </c>
      <c r="D9" s="12" t="n">
        <f aca="false">'Financial Data'!D26/'Financial Data'!D10</f>
        <v>3.46092909535452</v>
      </c>
      <c r="E9" s="12" t="n">
        <f aca="false">'Financial Data'!E26/'Financial Data'!E10</f>
        <v>8.94324466684224</v>
      </c>
      <c r="F9" s="12" t="n">
        <f aca="false">'Financial Data'!F26/'Financial Data'!F10</f>
        <v>12.4143222506394</v>
      </c>
    </row>
    <row r="11" customFormat="false" ht="15" hidden="false" customHeight="false" outlineLevel="0" collapsed="false">
      <c r="A11" s="3" t="s">
        <v>61</v>
      </c>
    </row>
    <row r="12" customFormat="false" ht="15" hidden="false" customHeight="false" outlineLevel="0" collapsed="false">
      <c r="A12" s="4" t="s">
        <v>62</v>
      </c>
      <c r="B12" s="13" t="n">
        <f aca="false">'Financial Data'!B29</f>
        <v>-112</v>
      </c>
      <c r="C12" s="13" t="n">
        <f aca="false">'Financial Data'!C29</f>
        <v>-88</v>
      </c>
      <c r="D12" s="13" t="n">
        <f aca="false">'Financial Data'!D29</f>
        <v>-63</v>
      </c>
      <c r="E12" s="13" t="n">
        <f aca="false">'Financial Data'!E29</f>
        <v>-55</v>
      </c>
      <c r="F12" s="13" t="n">
        <f aca="false">'Financial Data'!F29</f>
        <v>-62</v>
      </c>
    </row>
    <row r="14" customFormat="false" ht="15" hidden="false" customHeight="false" outlineLevel="0" collapsed="false">
      <c r="A14" s="3" t="s">
        <v>63</v>
      </c>
    </row>
    <row r="15" customFormat="false" ht="15" hidden="false" customHeight="false" outlineLevel="0" collapsed="false">
      <c r="A15" s="4" t="s">
        <v>35</v>
      </c>
      <c r="B15" s="8" t="n">
        <f aca="false">'Financial Data'!B7</f>
        <v>0.129253988270382</v>
      </c>
      <c r="C15" s="8" t="n">
        <f aca="false">'Financial Data'!C7</f>
        <v>0.0887758839880196</v>
      </c>
      <c r="D15" s="8" t="n">
        <f aca="false">'Financial Data'!D7</f>
        <v>0.0919625282180092</v>
      </c>
      <c r="E15" s="8" t="n">
        <f aca="false">'Financial Data'!E7</f>
        <v>0.133195550394456</v>
      </c>
      <c r="F15" s="8" t="n">
        <f aca="false">'Financial Data'!F7</f>
        <v>0.127674865531789</v>
      </c>
    </row>
    <row r="16" customFormat="false" ht="15" hidden="false" customHeight="false" outlineLevel="0" collapsed="false">
      <c r="A16" s="4" t="s">
        <v>64</v>
      </c>
      <c r="B16" s="8" t="n">
        <f aca="false">'Financial Data'!B13/'Financial Data'!B19</f>
        <v>-0.242456603978497</v>
      </c>
      <c r="C16" s="8" t="n">
        <f aca="false">'Financial Data'!C13/'Financial Data'!C19</f>
        <v>-0.253786943740042</v>
      </c>
      <c r="D16" s="8" t="n">
        <f aca="false">'Financial Data'!D13/'Financial Data'!D19</f>
        <v>0.0593530735625083</v>
      </c>
      <c r="E16" s="8" t="n">
        <f aca="false">'Financial Data'!E13/'Financial Data'!E19</f>
        <v>0.374561341529476</v>
      </c>
      <c r="F16" s="8" t="n">
        <f aca="false">'Financial Data'!F13/'Financial Data'!F19</f>
        <v>0.242362928778069</v>
      </c>
    </row>
    <row r="17" customFormat="false" ht="15" hidden="false" customHeight="false" outlineLevel="0" collapsed="false">
      <c r="A17" s="4" t="s">
        <v>65</v>
      </c>
      <c r="B17" s="8" t="n">
        <f aca="false">'Financial Data'!B30</f>
        <v>0.06</v>
      </c>
      <c r="C17" s="8" t="n">
        <f aca="false">'Financial Data'!C30</f>
        <v>0.01</v>
      </c>
      <c r="D17" s="8" t="n">
        <f aca="false">'Financial Data'!D30</f>
        <v>0.06</v>
      </c>
      <c r="E17" s="8" t="n">
        <f aca="false">'Financial Data'!E30</f>
        <v>0.19</v>
      </c>
      <c r="F17" s="8" t="n">
        <f aca="false">'Financial Data'!F30</f>
        <v>0.2</v>
      </c>
    </row>
    <row r="19" customFormat="false" ht="15" hidden="false" customHeight="false" outlineLevel="0" collapsed="false">
      <c r="A19" s="5" t="s">
        <v>66</v>
      </c>
    </row>
    <row r="21" customFormat="false" ht="15" hidden="false" customHeight="false" outlineLevel="0" collapsed="false">
      <c r="A21" s="3" t="s">
        <v>67</v>
      </c>
    </row>
    <row r="22" customFormat="false" ht="15" hidden="false" customHeight="false" outlineLevel="0" collapsed="false">
      <c r="A22" s="6" t="s">
        <v>68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32</v>
      </c>
    </row>
    <row r="23" customFormat="false" ht="15" hidden="false" customHeight="false" outlineLevel="0" collapsed="false">
      <c r="A23" s="4" t="s">
        <v>69</v>
      </c>
      <c r="B23" s="12" t="n">
        <f aca="false">B5</f>
        <v>2.57264647854182</v>
      </c>
      <c r="C23" s="12" t="n">
        <f aca="false">C5</f>
        <v>3.28648369650591</v>
      </c>
      <c r="D23" s="12" t="n">
        <f aca="false">D5</f>
        <v>2.95911477869467</v>
      </c>
      <c r="E23" s="12" t="n">
        <f aca="false">E5</f>
        <v>1.26314797804941</v>
      </c>
      <c r="F23" s="12" t="n">
        <f aca="false">F5</f>
        <v>0.61595949855352</v>
      </c>
    </row>
    <row r="24" customFormat="false" ht="15" hidden="false" customHeight="false" outlineLevel="0" collapsed="false">
      <c r="A24" s="4" t="s">
        <v>70</v>
      </c>
      <c r="B24" s="12" t="n">
        <f aca="false">B8</f>
        <v>1.07941212794862</v>
      </c>
      <c r="C24" s="12" t="n">
        <f aca="false">C8</f>
        <v>-0.0124570446735395</v>
      </c>
      <c r="D24" s="12" t="n">
        <f aca="false">D8</f>
        <v>0.680293398533007</v>
      </c>
      <c r="E24" s="12" t="n">
        <f aca="false">E8</f>
        <v>4.02554648406637</v>
      </c>
      <c r="F24" s="12" t="n">
        <f aca="false">F8</f>
        <v>6.46901436159748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5" t="s">
        <v>72</v>
      </c>
    </row>
    <row r="4" customFormat="false" ht="15" hidden="false" customHeight="false" outlineLevel="0" collapsed="false">
      <c r="A4" s="6" t="s">
        <v>73</v>
      </c>
      <c r="B4" s="6" t="s">
        <v>74</v>
      </c>
      <c r="C4" s="6" t="s">
        <v>75</v>
      </c>
      <c r="D4" s="6" t="s">
        <v>76</v>
      </c>
    </row>
    <row r="5" customFormat="false" ht="15" hidden="false" customHeight="false" outlineLevel="0" collapsed="false">
      <c r="A5" s="4" t="s">
        <v>77</v>
      </c>
      <c r="B5" s="12" t="n">
        <f aca="false">'Ratio Analysis'!F5</f>
        <v>0.61595949855352</v>
      </c>
      <c r="C5" s="3" t="n">
        <v>5</v>
      </c>
      <c r="D5" s="5" t="s">
        <v>78</v>
      </c>
    </row>
    <row r="6" customFormat="false" ht="15" hidden="false" customHeight="false" outlineLevel="0" collapsed="false">
      <c r="A6" s="4" t="s">
        <v>79</v>
      </c>
      <c r="B6" s="12" t="n">
        <f aca="false">'Ratio Analysis'!F8</f>
        <v>6.46901436159748</v>
      </c>
      <c r="C6" s="3" t="n">
        <v>5</v>
      </c>
      <c r="D6" s="5" t="s">
        <v>80</v>
      </c>
    </row>
    <row r="7" customFormat="false" ht="15" hidden="false" customHeight="false" outlineLevel="0" collapsed="false">
      <c r="A7" s="4" t="s">
        <v>81</v>
      </c>
      <c r="B7" s="12" t="n">
        <f aca="false">'Ratio Analysis'!F9</f>
        <v>12.4143222506394</v>
      </c>
      <c r="C7" s="3" t="n">
        <v>5</v>
      </c>
      <c r="D7" s="5" t="s">
        <v>82</v>
      </c>
    </row>
    <row r="8" customFormat="false" ht="15" hidden="false" customHeight="false" outlineLevel="0" collapsed="false">
      <c r="A8" s="4" t="s">
        <v>83</v>
      </c>
      <c r="B8" s="13" t="n">
        <f aca="false">'Ratio Analysis'!F15</f>
        <v>0.127674865531789</v>
      </c>
      <c r="C8" s="3" t="n">
        <v>4</v>
      </c>
      <c r="D8" s="5" t="s">
        <v>84</v>
      </c>
    </row>
    <row r="9" customFormat="false" ht="15" hidden="false" customHeight="false" outlineLevel="0" collapsed="false">
      <c r="A9" s="4" t="s">
        <v>85</v>
      </c>
      <c r="B9" s="8" t="n">
        <f aca="false">'Ratio Analysis'!F17</f>
        <v>0.2</v>
      </c>
      <c r="C9" s="3" t="n">
        <v>4</v>
      </c>
      <c r="D9" s="5" t="s">
        <v>86</v>
      </c>
    </row>
    <row r="10" customFormat="false" ht="15" hidden="false" customHeight="false" outlineLevel="0" collapsed="false">
      <c r="A10" s="4" t="s">
        <v>87</v>
      </c>
      <c r="B10" s="14" t="s">
        <v>88</v>
      </c>
      <c r="C10" s="3" t="n">
        <v>2</v>
      </c>
      <c r="D10" s="5" t="s">
        <v>89</v>
      </c>
    </row>
    <row r="11" customFormat="false" ht="15" hidden="false" customHeight="false" outlineLevel="0" collapsed="false">
      <c r="A11" s="4" t="s">
        <v>90</v>
      </c>
      <c r="B11" s="13" t="n">
        <f aca="false">'Ratio Analysis'!F12</f>
        <v>-62</v>
      </c>
      <c r="C11" s="3" t="n">
        <v>4</v>
      </c>
      <c r="D11" s="5" t="s">
        <v>91</v>
      </c>
    </row>
    <row r="13" customFormat="false" ht="15" hidden="false" customHeight="false" outlineLevel="0" collapsed="false">
      <c r="A13" s="3" t="s">
        <v>92</v>
      </c>
      <c r="C13" s="15" t="n">
        <f aca="false">AVERAGE(C5:C11)</f>
        <v>4.14285714285714</v>
      </c>
    </row>
    <row r="15" customFormat="false" ht="15" hidden="false" customHeight="false" outlineLevel="0" collapsed="false">
      <c r="A15" s="16" t="s">
        <v>93</v>
      </c>
    </row>
    <row r="16" customFormat="false" ht="15" hidden="false" customHeight="false" outlineLevel="0" collapsed="false">
      <c r="A16" s="5" t="s">
        <v>94</v>
      </c>
    </row>
    <row r="17" customFormat="false" ht="16.15" hidden="false" customHeight="false" outlineLevel="0" collapsed="false">
      <c r="A17" s="17" t="str">
        <f aca="false">IF(C13&gt;=4.5,"AA-equivalent (indicative)",IF(C13&gt;=3.5,"A-equivalent (indicative)",IF(C13&gt;=2.5,"BBB-equivalent (indicative)","Sub-investment grade (indicative)")))</f>
        <v>A-equivalent (indicative)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2026-07-16T07:43:58Z</dcterms:created>
  <dc:creator>openpyxl</dc:creator>
  <dc:description/>
  <dc:language>en-US</dc:language>
  <cp:lastModifiedBy/>
  <dcterms:modified xsi:type="dcterms:W3CDTF">2026-07-16T07:44:00Z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